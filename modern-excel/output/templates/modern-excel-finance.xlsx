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Comparison" state="visible" r:id="rId7"/>
    <sheet sheetId="5" name="Dashboard" state="visible" r:id="rId8"/>
    <sheet sheetId="6" name="Timeline" state="visible" r:id="rId9"/>
    <sheet sheetId="7" name="Projects" state="visible" r:id="rId10"/>
  </sheets>
  <calcPr calcId="171027"/>
</workbook>
</file>

<file path=xl/sharedStrings.xml><?xml version="1.0" encoding="utf-8"?>
<sst xmlns="http://schemas.openxmlformats.org/spreadsheetml/2006/main" count="132" uniqueCount="100">
  <si>
    <t>金融财经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</si>
  <si>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</si>
  <si>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</si>
  <si>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</si>
  <si>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</si>
  <si>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</si>
  <si>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</si>
  <si>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</si>
  <si>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</si>
  <si>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</si>
  <si>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</si>
  <si>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</si>
  <si>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</si>
  <si>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</si>
  <si>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金融财经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</si>
  <si>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</si>
  <si>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</si>
  <si>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</si>
  <si>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</si>
  <si>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</si>
  <si>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</si>
  <si>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</si>
  <si>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</si>
  <si>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</si>
  <si>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金融财经 - Budget vs Actual Analysis</t>
  </si>
  <si>
    <t>Department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</si>
  <si>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</si>
  <si>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</si>
  <si>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</si>
  <si>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</si>
  <si>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</si>
  <si>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</si>
  <si>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</si>
  <si>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</si>
  <si>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</si>
  <si>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</si>
  <si>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</si>
  <si>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</si>
  <si>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金融财经 - Key Performance Indicators</t>
  </si>
  <si>
    <t>Metric</t>
  </si>
  <si>
    <t>Value</t>
  </si>
  <si>
    <t>Change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</si>
  <si>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</si>
  <si>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</si>
  <si>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</si>
  <si>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</si>
  <si>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</si>
  <si>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</si>
  <si>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</si>
  <si>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</si>
  <si>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</si>
  <si>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</si>
  <si>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</si>
  <si>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</si>
  <si>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</si>
  <si>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</si>
  <si>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Conversion Rate</t>
  </si>
  <si>
    <t>4.8%</t>
  </si>
  <si>
    <t>+0.5%</t>
  </si>
  <si>
    <t>金融财经 - Project Timeline</t>
  </si>
  <si>
    <t>Phase</t>
  </si>
  <si>
    <t>Start Date</t>
  </si>
  <si>
    <t>End Date</t>
  </si>
  <si>
    <t>Duration</t>
  </si>
  <si>
    <t>Progress</t>
  </si>
  <si>
    <t>Planning</t>
  </si>
  <si>
    <t>2024-01-01</t>
  </si>
  <si>
    <t>2024-02-28</t>
  </si>
  <si>
    <t>In Progress</t>
  </si>
  <si>
    <t>Development</t>
  </si>
  <si>
    <t>2024-03-01</t>
  </si>
  <si>
    <t>2024-06-30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</si>
  <si>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</si>
  <si>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</si>
  <si>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</si>
  <si>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</si>
  <si>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</si>
  <si>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</si>
  <si>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</si>
  <si>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Launch</t>
  </si>
  <si>
    <t>2024-10-16</t>
  </si>
  <si>
    <t>2024-12-31</t>
  </si>
  <si>
    <t>金融财经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</si>
  <si>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</si>
  <si>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</si>
  <si>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</si>
  <si>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</si>
  <si>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</si>
  <si>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</si>
  <si>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</si>
  <si>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</si>
  <si>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Early Stage</t>
  </si>
  <si>
    <t>Mobile App</t>
  </si>
  <si>
    <t>2024-02-01</t>
  </si>
  <si>
    <t>2024-07-15</t>
  </si>
  <si>
    <t>CRM Integration</t>
  </si>
  <si>
    <t>2024-05-31</t>
  </si>
  <si>
    <t>Data Analytics</t>
  </si>
  <si>
    <t>2024-04-01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</si>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</sst>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FF1A202C"/>
      <sz val="24"/>
      <name val="Arial"/>
    </font>
    <font>
      <b/>
      <color rgb="FFFFFFFF"/>
      <sz val="12"/>
      <name val="Arial"/>
    </font>
    <font>
      <color rgb="FF1A202C"/>
      <sz val="11"/>
      <name val="Arial"/>
    </font>
    <font>
      <b/>
      <color rgb="FFD69E2E"/>
      <sz val="11"/>
      <name val="Arial"/>
    </font>
    <font>
      <b/>
      <color rgb="FFC53030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FFFFFF"/>
      </patternFill>
    </fill>
    <fill>
      <patternFill patternType="solid">
        <fgColor rgb="FFEBF8FF"/>
      </patternFill>
    </fill>
  </fills>
  <borders count="4">
    <border>
      <left/>
      <right/>
      <top/>
      <bottom/>
      <diagonal/>
    </border>
    <border>
      <left style="thin">
        <color rgb="FFBEE3F8"/>
      </left>
      <right style="thin">
        <color rgb="FFBEE3F8"/>
      </right>
      <top style="medium">
        <color rgb="FF1A365D"/>
      </top>
      <bottom style="medium">
        <color rgb="FF1A365D"/>
      </bottom>
      <diagonal/>
    </border>
    <border>
      <left style="thin">
        <color rgb="FFBEE3F8"/>
      </left>
      <right style="thin">
        <color rgb="FFBEE3F8"/>
      </right>
      <top style="thin">
        <color rgb="FFBEE3F8"/>
      </top>
      <bottom style="thin">
        <color rgb="FFBEE3F8"/>
      </bottom>
      <diagonal/>
    </border>
    <border>
      <left style="thin">
        <color rgb="FFBEE3F8"/>
      </left>
      <right style="thin">
        <color rgb="FFBEE3F8"/>
      </right>
      <top style="double">
        <color rgb="FFBEE3F8"/>
      </top>
      <bottom style="double">
        <color rgb="FFBEE3F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0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6.8" customWidth="1"/>
    <col min="2" max="7" width="20" customWidth="1"/>
  </cols>
  <sheetData>
    <row r="1" ht="40" customHeight="1" spans="1:7" x14ac:dyDescent="0.25">
      <c r="A1" s="1" t="s">
        <v>0</v>
      </c>
    </row>
    <row r="3" ht="24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0" customHeight="1" spans="1:7" x14ac:dyDescent="0.25">
      <c r="A4" s="3" t="s">
        <v>8</v>
      </c>
      <c r="B4" s="4">
        <v>12500</v>
      </c>
      <c r="C4" s="4">
        <v>14200</v>
      </c>
      <c r="D4" s="4">
        <v>15600</v>
      </c>
      <c r="E4" s="4">
        <v>18500</v>
      </c>
      <c r="F4">
        <f>SUM(B:E)</f>
      </c>
      <c r="G4">
        <f>(E-B)/B</f>
      </c>
    </row>
    <row r="5" ht="20" customHeight="1" spans="1:7" x14ac:dyDescent="0.25">
      <c r="A5" s="5" t="s">
        <v>9</v>
      </c>
      <c r="B5" s="4">
        <v>8900</v>
      </c>
      <c r="C5" s="4">
        <v>9200</v>
      </c>
      <c r="D5" s="4">
        <v>10500</v>
      </c>
      <c r="E5" s="4">
        <v>11200</v>
      </c>
      <c r="F5">
        <f>SUM(B:E)</f>
      </c>
      <c r="G5">
        <f>(E-B)/B</f>
      </c>
    </row>
    <row r="6" ht="20" customHeight="1" spans="1:7" x14ac:dyDescent="0.25">
      <c r="A6" s="3" t="s">
        <v>10</v>
      </c>
      <c r="B6" s="4">
        <v>15600</v>
      </c>
      <c r="C6" s="4">
        <v>16500</v>
      </c>
      <c r="D6" s="4">
        <v>17800</v>
      </c>
      <c r="E6" s="4">
        <v>19500</v>
      </c>
      <c r="F6">
        <f>SUM(B:E)</f>
      </c>
      <c r="G6">
        <f>(E-B)/B</f>
      </c>
    </row>
    <row r="7" ht="20" customHeight="1" spans="1:7" x14ac:dyDescent="0.25">
      <c r="A7" s="5" t="s">
        <v>11</v>
      </c>
      <c r="B7" s="4">
        <v>6200</v>
      </c>
      <c r="C7" s="4">
        <v>7100</v>
      </c>
      <c r="D7" s="4">
        <v>8500</v>
      </c>
      <c r="E7" s="4">
        <v>9800</v>
      </c>
      <c r="F7">
        <f>SUM(B:E)</f>
      </c>
      <c r="G7">
        <f>(E-B)/B</f>
      </c>
    </row>
    <row r="8" ht="20" customHeight="1" spans="1:7" x14ac:dyDescent="0.25">
      <c r="A8" s="3" t="s">
        <v>12</v>
      </c>
      <c r="B8" s="4">
        <v>21000</v>
      </c>
      <c r="C8" s="4">
        <v>22500</v>
      </c>
      <c r="D8" s="4">
        <v>24000</v>
      </c>
      <c r="E8" s="4">
        <v>26500</v>
      </c>
      <c r="F8">
        <f>SUM(B:E)</f>
      </c>
      <c r="G8">
        <f>(E-B)/B</f>
      </c>
    </row>
    <row r="9" spans="1:7" x14ac:dyDescent="0.25">
      <c r="A9" s="6" t="s">
        <v>6</v>
      </c>
      <c r="B9" s="6">
        <f>SUM(B4:B8)</f>
      </c>
      <c r="C9" s="6">
        <f>SUM(C4:C8)</f>
      </c>
      <c r="D9" s="6">
        <f>SUM(D4:D8)</f>
      </c>
      <c r="E9" s="6">
        <f>SUM(E4:E8)</f>
      </c>
      <c r="F9" s="6" t="s">
        <v>13</v>
      </c>
      <c r="G9" s="6" t="s">
        <v>13</v>
      </c>
    </row>
  </sheetData>
  <autoFilter ref="A3:G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2.8" customWidth="1"/>
    <col min="2" max="4" width="20" customWidth="1"/>
    <col min="5" max="5" width="24.8" customWidth="1"/>
  </cols>
  <sheetData>
    <row r="1" ht="40" customHeight="1" spans="1:5" x14ac:dyDescent="0.25">
      <c r="A1" s="1" t="s">
        <v>14</v>
      </c>
    </row>
    <row r="3" ht="24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0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7">
        <v>0.3333333333333333</v>
      </c>
    </row>
    <row r="5" ht="20" customHeight="1" spans="1:5" x14ac:dyDescent="0.25">
      <c r="A5" s="5" t="s">
        <v>21</v>
      </c>
      <c r="B5" s="4">
        <v>145000</v>
      </c>
      <c r="C5" s="4">
        <v>95000</v>
      </c>
      <c r="D5" s="4">
        <v>50000</v>
      </c>
      <c r="E5" s="7">
        <v>0.3448275862068966</v>
      </c>
    </row>
    <row r="6" ht="20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7">
        <v>0.34523809523809523</v>
      </c>
    </row>
    <row r="7" ht="20" customHeight="1" spans="1:5" x14ac:dyDescent="0.25">
      <c r="A7" s="5" t="s">
        <v>23</v>
      </c>
      <c r="B7" s="4">
        <v>190000</v>
      </c>
      <c r="C7" s="4">
        <v>125000</v>
      </c>
      <c r="D7" s="4">
        <v>65000</v>
      </c>
      <c r="E7" s="7">
        <v>0.34210526315789475</v>
      </c>
    </row>
    <row r="8" spans="1:5" x14ac:dyDescent="0.25">
      <c r="A8" s="6" t="s">
        <v>6</v>
      </c>
      <c r="B8" s="6">
        <f>SUM(B4:B7)</f>
      </c>
      <c r="C8" s="6">
        <f>SUM(C4:C7)</f>
      </c>
      <c r="D8" s="6">
        <f>SUM(D4:D7)</f>
      </c>
      <c r="E8" s="6">
        <f>SUM(E4:E7)</f>
      </c>
    </row>
  </sheetData>
  <autoFilter ref="A3:E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0.4" customWidth="1"/>
    <col min="2" max="4" width="20" customWidth="1"/>
    <col min="5" max="5" width="14" customWidth="1"/>
    <col min="6" max="6" width="10" customWidth="1"/>
  </cols>
  <sheetData>
    <row r="1" ht="40" customHeight="1" spans="1:6" x14ac:dyDescent="0.25">
      <c r="A1" s="1" t="s">
        <v>24</v>
      </c>
    </row>
    <row r="3" ht="24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0" customHeight="1" spans="1:6" x14ac:dyDescent="0.25">
      <c r="A4" s="3" t="s">
        <v>31</v>
      </c>
      <c r="B4" s="8">
        <v>50000</v>
      </c>
      <c r="C4" s="8">
        <v>45000</v>
      </c>
      <c r="D4" s="8">
        <v>-5000</v>
      </c>
      <c r="E4" s="3" t="s">
        <v>32</v>
      </c>
      <c r="F4" s="9"/>
    </row>
    <row r="5" ht="20" customHeight="1" spans="1:6" x14ac:dyDescent="0.25">
      <c r="A5" s="5" t="s">
        <v>33</v>
      </c>
      <c r="B5" s="5">
        <v>120000</v>
      </c>
      <c r="C5" s="5">
        <v>125000</v>
      </c>
      <c r="D5" s="5">
        <v>5000</v>
      </c>
      <c r="E5" s="5" t="s">
        <v>34</v>
      </c>
      <c r="F5" s="10"/>
    </row>
    <row r="6" ht="20" customHeight="1" spans="1:6" x14ac:dyDescent="0.25">
      <c r="A6" s="3" t="s">
        <v>35</v>
      </c>
      <c r="B6" s="8">
        <v>80000</v>
      </c>
      <c r="C6" s="8">
        <v>78000</v>
      </c>
      <c r="D6" s="8">
        <v>-2000</v>
      </c>
      <c r="E6" s="3" t="s">
        <v>32</v>
      </c>
      <c r="F6" s="9"/>
    </row>
    <row r="7" ht="20" customHeight="1" spans="1:6" x14ac:dyDescent="0.25">
      <c r="A7" s="5" t="s">
        <v>36</v>
      </c>
      <c r="B7" s="5">
        <v>280000</v>
      </c>
      <c r="C7" s="5">
        <v>275000</v>
      </c>
      <c r="D7" s="5">
        <v>-5000</v>
      </c>
      <c r="E7" s="5" t="s">
        <v>32</v>
      </c>
      <c r="F7" s="9"/>
    </row>
    <row r="8" ht="20" customHeight="1" spans="1:6" x14ac:dyDescent="0.25">
      <c r="A8" s="3" t="s">
        <v>37</v>
      </c>
      <c r="B8" s="8">
        <v>45000</v>
      </c>
      <c r="C8" s="8">
        <v>42000</v>
      </c>
      <c r="D8" s="8">
        <v>-3000</v>
      </c>
      <c r="E8" s="3" t="s">
        <v>32</v>
      </c>
      <c r="F8" s="9"/>
    </row>
    <row r="9" spans="1:6" x14ac:dyDescent="0.25">
      <c r="A9" s="6" t="s">
        <v>6</v>
      </c>
      <c r="B9" s="6">
        <f>SUM(B4:B8)</f>
      </c>
      <c r="C9" s="6">
        <f>SUM(C4:C8)</f>
      </c>
      <c r="D9" s="6">
        <f>SUM(D4:D8)</f>
      </c>
      <c r="E9" s="6" t="s">
        <v>13</v>
      </c>
      <c r="F9" s="6" t="s">
        <v>13</v>
      </c>
    </row>
  </sheetData>
  <autoFilter ref="A3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1.6" customWidth="1"/>
    <col min="2" max="4" width="10" customWidth="1"/>
  </cols>
  <sheetData>
    <row r="1" ht="40" customHeight="1" spans="1:4" x14ac:dyDescent="0.25">
      <c r="A1" s="1" t="s">
        <v>38</v>
      </c>
    </row>
    <row r="3" ht="24" customHeight="1" spans="1:4" x14ac:dyDescent="0.25">
      <c r="A3" s="2" t="s">
        <v>39</v>
      </c>
      <c r="B3" s="2" t="s">
        <v>40</v>
      </c>
      <c r="C3" s="2" t="s">
        <v>41</v>
      </c>
      <c r="D3" s="2" t="s">
        <v>30</v>
      </c>
    </row>
    <row r="4" ht="20" customHeight="1" spans="1:4" x14ac:dyDescent="0.25">
      <c r="A4" s="3" t="s">
        <v>42</v>
      </c>
      <c r="B4" s="3" t="s">
        <v>43</v>
      </c>
      <c r="C4" s="3" t="s">
        <v>44</v>
      </c>
      <c r="D4" s="3" t="s">
        <v>45</v>
      </c>
    </row>
    <row r="5" ht="20" customHeight="1" spans="1:4" x14ac:dyDescent="0.25">
      <c r="A5" s="5" t="s">
        <v>46</v>
      </c>
      <c r="B5" s="5" t="s">
        <v>47</v>
      </c>
      <c r="C5" s="5" t="s">
        <v>48</v>
      </c>
      <c r="D5" s="5" t="s">
        <v>45</v>
      </c>
    </row>
    <row r="6" ht="20" customHeight="1" spans="1:4" x14ac:dyDescent="0.25">
      <c r="A6" s="3" t="s">
        <v>49</v>
      </c>
      <c r="B6" s="3" t="s">
        <v>50</v>
      </c>
      <c r="C6" s="3" t="s">
        <v>51</v>
      </c>
      <c r="D6" s="3" t="s">
        <v>45</v>
      </c>
    </row>
    <row r="7" ht="20" customHeight="1" spans="1:4" x14ac:dyDescent="0.25">
      <c r="A7" s="5" t="s">
        <v>52</v>
      </c>
      <c r="B7" s="5" t="s">
        <v>53</v>
      </c>
      <c r="C7" s="5" t="s">
        <v>54</v>
      </c>
      <c r="D7" s="5" t="s">
        <v>55</v>
      </c>
    </row>
    <row r="8" ht="20" customHeight="1" spans="1:4" x14ac:dyDescent="0.25">
      <c r="A8" s="3" t="s">
        <v>56</v>
      </c>
      <c r="B8" s="3" t="s">
        <v>57</v>
      </c>
      <c r="C8" s="3" t="s">
        <v>58</v>
      </c>
      <c r="D8" s="3" t="s">
        <v>45</v>
      </c>
    </row>
  </sheetData>
  <autoFilter ref="A3:D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29.599999999999998" customWidth="1"/>
    <col min="2" max="3" width="14" customWidth="1"/>
    <col min="4" max="5" width="20" customWidth="1"/>
    <col min="6" max="6" width="15.2" customWidth="1"/>
  </cols>
  <sheetData>
    <row r="1" ht="40" customHeight="1" spans="1:6" x14ac:dyDescent="0.25">
      <c r="A1" s="1" t="s">
        <v>59</v>
      </c>
    </row>
    <row r="3" ht="24" customHeight="1" spans="1:6" x14ac:dyDescent="0.25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30</v>
      </c>
    </row>
    <row r="4" ht="20" customHeight="1" spans="1:6" x14ac:dyDescent="0.25">
      <c r="A4" s="3" t="s">
        <v>65</v>
      </c>
      <c r="B4" s="3" t="s">
        <v>66</v>
      </c>
      <c r="C4" s="3" t="s">
        <v>67</v>
      </c>
      <c r="D4" s="8">
        <v>58</v>
      </c>
      <c r="E4" s="7">
        <v>1</v>
      </c>
      <c r="F4" s="3" t="s">
        <v>68</v>
      </c>
    </row>
    <row r="5" ht="20" customHeight="1" spans="1:6" x14ac:dyDescent="0.25">
      <c r="A5" s="5" t="s">
        <v>69</v>
      </c>
      <c r="B5" s="5" t="s">
        <v>70</v>
      </c>
      <c r="C5" s="5" t="s">
        <v>71</v>
      </c>
      <c r="D5" s="5">
        <v>121</v>
      </c>
      <c r="E5" s="7">
        <v>0.85</v>
      </c>
      <c r="F5" s="5" t="s">
        <v>68</v>
      </c>
    </row>
    <row r="6" ht="20" customHeight="1" spans="1:6" x14ac:dyDescent="0.25">
      <c r="A6" s="3" t="s">
        <v>72</v>
      </c>
      <c r="B6" s="3" t="s">
        <v>73</v>
      </c>
      <c r="C6" s="3" t="s">
        <v>74</v>
      </c>
      <c r="D6" s="8">
        <v>61</v>
      </c>
      <c r="E6" s="7">
        <v>0.45</v>
      </c>
      <c r="F6" s="3" t="s">
        <v>68</v>
      </c>
    </row>
    <row r="7" ht="20" customHeight="1" spans="1:6" x14ac:dyDescent="0.25">
      <c r="A7" s="5" t="s">
        <v>75</v>
      </c>
      <c r="B7" s="5" t="s">
        <v>76</v>
      </c>
      <c r="C7" s="5" t="s">
        <v>77</v>
      </c>
      <c r="D7" s="5">
        <v>44</v>
      </c>
      <c r="E7" s="7">
        <v>0</v>
      </c>
      <c r="F7" s="5" t="s">
        <v>78</v>
      </c>
    </row>
    <row r="8" ht="20" customHeight="1" spans="1:6" x14ac:dyDescent="0.25">
      <c r="A8" s="3" t="s">
        <v>79</v>
      </c>
      <c r="B8" s="3" t="s">
        <v>80</v>
      </c>
      <c r="C8" s="3" t="s">
        <v>81</v>
      </c>
      <c r="D8" s="8">
        <v>76</v>
      </c>
      <c r="E8" s="7">
        <v>0</v>
      </c>
      <c r="F8" s="3" t="s">
        <v>78</v>
      </c>
    </row>
    <row r="9" spans="1:6" x14ac:dyDescent="0.25">
      <c r="A9" s="6" t="s">
        <v>6</v>
      </c>
      <c r="B9" s="6" t="s">
        <v>13</v>
      </c>
      <c r="C9" s="6" t="s">
        <v>13</v>
      </c>
      <c r="D9" s="6">
        <f>SUM(D4:D8)</f>
      </c>
      <c r="E9" s="6">
        <f>SUM(E4:E8)</f>
      </c>
      <c r="F9" s="6" t="s">
        <v>13</v>
      </c>
    </row>
  </sheetData>
  <autoFilter ref="A3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0.4" customWidth="1"/>
    <col min="2" max="3" width="14" customWidth="1"/>
    <col min="4" max="7" width="20" customWidth="1"/>
    <col min="8" max="8" width="15.2" customWidth="1"/>
  </cols>
  <sheetData>
    <row r="1" ht="40" customHeight="1" spans="1:8" x14ac:dyDescent="0.25">
      <c r="A1" s="1" t="s">
        <v>82</v>
      </c>
    </row>
    <row r="3" ht="24" customHeight="1" spans="1:8" x14ac:dyDescent="0.25">
      <c r="A3" s="2" t="s">
        <v>83</v>
      </c>
      <c r="B3" s="2" t="s">
        <v>84</v>
      </c>
      <c r="C3" s="2" t="s">
        <v>85</v>
      </c>
      <c r="D3" s="2" t="s">
        <v>64</v>
      </c>
      <c r="E3" s="2" t="s">
        <v>26</v>
      </c>
      <c r="F3" s="2" t="s">
        <v>86</v>
      </c>
      <c r="G3" s="2" t="s">
        <v>87</v>
      </c>
      <c r="H3" s="2" t="s">
        <v>30</v>
      </c>
    </row>
    <row r="4" ht="20" customHeight="1" spans="1:8" x14ac:dyDescent="0.25">
      <c r="A4" s="3" t="s">
        <v>88</v>
      </c>
      <c r="B4" s="3" t="s">
        <v>89</v>
      </c>
      <c r="C4" s="3" t="s">
        <v>90</v>
      </c>
      <c r="D4" s="7">
        <v>0.78</v>
      </c>
      <c r="E4" s="4">
        <v>45000</v>
      </c>
      <c r="F4" s="4">
        <v>38000</v>
      </c>
      <c r="G4" s="4">
        <v>7000</v>
      </c>
      <c r="H4" s="3" t="s">
        <v>91</v>
      </c>
    </row>
    <row r="5" ht="20" customHeight="1" spans="1:8" x14ac:dyDescent="0.25">
      <c r="A5" s="5" t="s">
        <v>92</v>
      </c>
      <c r="B5" s="5" t="s">
        <v>93</v>
      </c>
      <c r="C5" s="5" t="s">
        <v>94</v>
      </c>
      <c r="D5" s="7">
        <v>0.45</v>
      </c>
      <c r="E5" s="4">
        <v>120000</v>
      </c>
      <c r="F5" s="4">
        <v>55000</v>
      </c>
      <c r="G5" s="4">
        <v>65000</v>
      </c>
      <c r="H5" s="5" t="s">
        <v>91</v>
      </c>
    </row>
    <row r="6" ht="20" customHeight="1" spans="1:8" x14ac:dyDescent="0.25">
      <c r="A6" s="3" t="s">
        <v>95</v>
      </c>
      <c r="B6" s="3" t="s">
        <v>70</v>
      </c>
      <c r="C6" s="3" t="s">
        <v>96</v>
      </c>
      <c r="D6" s="7">
        <v>0.92</v>
      </c>
      <c r="E6" s="4">
        <v>35000</v>
      </c>
      <c r="F6" s="4">
        <v>32500</v>
      </c>
      <c r="G6" s="4">
        <v>2500</v>
      </c>
      <c r="H6" s="3" t="s">
        <v>91</v>
      </c>
    </row>
    <row r="7" ht="20" customHeight="1" spans="1:8" x14ac:dyDescent="0.25">
      <c r="A7" s="5" t="s">
        <v>97</v>
      </c>
      <c r="B7" s="5" t="s">
        <v>98</v>
      </c>
      <c r="C7" s="5" t="s">
        <v>99</v>
      </c>
      <c r="D7" s="7">
        <v>0.25</v>
      </c>
      <c r="E7" s="4">
        <v>80000</v>
      </c>
      <c r="F7" s="4">
        <v>22000</v>
      </c>
      <c r="G7" s="4">
        <v>58000</v>
      </c>
      <c r="H7" s="5" t="s">
        <v>91</v>
      </c>
    </row>
    <row r="8" spans="1:8" x14ac:dyDescent="0.25">
      <c r="A8" s="6" t="s">
        <v>6</v>
      </c>
      <c r="B8" s="6" t="s">
        <v>13</v>
      </c>
      <c r="C8" s="6" t="s">
        <v>13</v>
      </c>
      <c r="D8" s="6">
        <f>SUM(D4:D7)</f>
      </c>
      <c r="E8" s="6">
        <f>SUM(E4:E7)</f>
      </c>
      <c r="F8" s="6">
        <f>SUM(F4:F7)</f>
      </c>
      <c r="G8" s="6">
        <f>SUM(G4:G7)</f>
      </c>
      <c r="H8" s="6" t="s">
        <v>13</v>
      </c>
    </row>
  </sheetData>
  <autoFilter ref="A3:H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Data Table</vt:lpstr>
      <vt:lpstr>Financial Report</vt:lpstr>
      <vt:lpstr>Comparison</vt:lpstr>
      <vt:lpstr>Dashboard</vt:lpstr>
      <vt:lpstr>Timeline</vt:lpstr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v7.0</dc:creator>
  <dc:title/>
  <dc:subject/>
  <dc:description/>
  <cp:keywords/>
  <cp:category/>
  <cp:lastModifiedBy>Unknown</cp:lastModifiedBy>
  <dcterms:created xsi:type="dcterms:W3CDTF">2026-03-30T08:29:34Z</dcterms:created>
  <dcterms:modified xsi:type="dcterms:W3CDTF">2026-03-30T08:29:34Z</dcterms:modified>
</cp:coreProperties>
</file>