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  <sheet sheetId="2" name="Data Table" state="visible" r:id="rId5"/>
    <sheet sheetId="3" name="Financial Report" state="visible" r:id="rId6"/>
    <sheet sheetId="4" name="Budget Comparison" state="visible" r:id="rId7"/>
    <sheet sheetId="5" name="Dashboard" state="visible" r:id="rId8"/>
    <sheet sheetId="6" name="Timeline" state="visible" r:id="rId9"/>
    <sheet sheetId="7" name="Projects" state="visible" r:id="rId10"/>
    <sheet sheetId="8" name="Analysis Report" state="visible" r:id="rId11"/>
  </sheets>
  <calcPr calcId="171027"/>
</workbook>
</file>

<file path=xl/sharedStrings.xml><?xml version="1.0" encoding="utf-8"?>
<sst xmlns="http://schemas.openxmlformats.org/spreadsheetml/2006/main" count="158" uniqueCount="104">
  <si>
    <t>自然绿意 - Product Sales Analysis</t>
  </si>
  <si>
    <t>Product</t>
  </si>
  <si>
    <t>Q1 Sales</t>
  </si>
  <si>
    <t>Q2 Sales</t>
  </si>
  <si>
    <t>Q3 Sales</t>
  </si>
  <si>
    <t>Q4 Sales</t>
  </si>
  <si>
    <t>Total</t>
  </si>
  <si>
    <t>Growth</t>
  </si>
  <si>
    <t>Product A</t>
  </si>
  <si>
    <t>Product B</t>
  </si>
  <si>
    <t>Product C</t>
  </si>
  <si>
    <t>Product D</t>
  </si>
  <si>
    <t>Product E</t>
  </si>
  <si>
    <t/>
  </si>
  <si>
    <t>自然绿意 - Quarterly Financial Summary</t>
  </si>
  <si>
    <t>Quarter</t>
  </si>
  <si>
    <t>Revenue</t>
  </si>
  <si>
    <t>Expenses</t>
  </si>
  <si>
    <t>Profit</t>
  </si>
  <si>
    <t>Margin</t>
  </si>
  <si>
    <t>Q1 2024</t>
  </si>
  <si>
    <t>Q2 2024</t>
  </si>
  <si>
    <t>Q3 2024</t>
  </si>
  <si>
    <t>Q4 2024</t>
  </si>
  <si>
    <t>自然绿意 - Budget vs Actual Analysis</t>
  </si>
  <si>
    <t>Item</t>
  </si>
  <si>
    <t>Budget</t>
  </si>
  <si>
    <t>Actual</t>
  </si>
  <si>
    <t>Variance</t>
  </si>
  <si>
    <t>Variance %</t>
  </si>
  <si>
    <t>Status</t>
  </si>
  <si>
    <t>Marketing</t>
  </si>
  <si>
    <t>Under</t>
  </si>
  <si>
    <t>Engineering</t>
  </si>
  <si>
    <t>Over</t>
  </si>
  <si>
    <t>Operations</t>
  </si>
  <si>
    <t>Sales</t>
  </si>
  <si>
    <t>HR</t>
  </si>
  <si>
    <t>自然绿意 - Key Performance Indicators</t>
  </si>
  <si>
    <t>Metric</t>
  </si>
  <si>
    <t>Value</t>
  </si>
  <si>
    <t>Change</t>
  </si>
  <si>
    <t>Trend</t>
  </si>
  <si>
    <t>Total Revenue</t>
  </si>
  <si>
    <t>$6.23M</t>
  </si>
  <si>
    <t>+15.2%</t>
  </si>
  <si>
    <t>up</t>
  </si>
  <si>
    <t>Net Profit</t>
  </si>
  <si>
    <t>$1.82M</t>
  </si>
  <si>
    <t>+22.5%</t>
  </si>
  <si>
    <t>Customer Count</t>
  </si>
  <si>
    <t>12,450</t>
  </si>
  <si>
    <t>+8.3%</t>
  </si>
  <si>
    <t>Avg Order Value</t>
  </si>
  <si>
    <t>$142</t>
  </si>
  <si>
    <t>-3.2%</t>
  </si>
  <si>
    <t>down</t>
  </si>
  <si>
    <t>自然绿意 - Project Timeline</t>
  </si>
  <si>
    <t>Phase</t>
  </si>
  <si>
    <t>Start Date</t>
  </si>
  <si>
    <t>End Date</t>
  </si>
  <si>
    <t>Duration (Days)</t>
  </si>
  <si>
    <t>Progress</t>
  </si>
  <si>
    <t>Planning</t>
  </si>
  <si>
    <t>2024-01-01</t>
  </si>
  <si>
    <t>2024-02-28</t>
  </si>
  <si>
    <t>Complete</t>
  </si>
  <si>
    <t>Development</t>
  </si>
  <si>
    <t>2024-03-01</t>
  </si>
  <si>
    <t>2024-06-30</t>
  </si>
  <si>
    <t>In Progress</t>
  </si>
  <si>
    <t>Testing</t>
  </si>
  <si>
    <t>2024-07-01</t>
  </si>
  <si>
    <t>2024-08-31</t>
  </si>
  <si>
    <t>Deployment</t>
  </si>
  <si>
    <t>2024-09-01</t>
  </si>
  <si>
    <t>2024-10-15</t>
  </si>
  <si>
    <t>Not Started</t>
  </si>
  <si>
    <t>自然绿意 - Project Progress Tracking</t>
  </si>
  <si>
    <t>Project</t>
  </si>
  <si>
    <t>Start</t>
  </si>
  <si>
    <t>Deadline</t>
  </si>
  <si>
    <t>Spent</t>
  </si>
  <si>
    <t>Remaining</t>
  </si>
  <si>
    <t>Website Redesign</t>
  </si>
  <si>
    <t>2024-01-15</t>
  </si>
  <si>
    <t>2024-04-30</t>
  </si>
  <si>
    <t>Active</t>
  </si>
  <si>
    <t>Mobile App</t>
  </si>
  <si>
    <t>2024-02-01</t>
  </si>
  <si>
    <t>2024-07-15</t>
  </si>
  <si>
    <t>Early Stage</t>
  </si>
  <si>
    <t>CRM Integration</t>
  </si>
  <si>
    <t>2024-05-31</t>
  </si>
  <si>
    <t>自然绿意 - Market Analysis Report</t>
  </si>
  <si>
    <t>Market Overview</t>
  </si>
  <si>
    <t>Region</t>
  </si>
  <si>
    <t>Market Size</t>
  </si>
  <si>
    <t>Growth Rate</t>
  </si>
  <si>
    <t>Share</t>
  </si>
  <si>
    <t>Competitor Analysis</t>
  </si>
  <si>
    <t>Competitor</t>
  </si>
  <si>
    <t>Market Share</t>
  </si>
  <si>
    <t>Strength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</si>
</sst>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7" x14ac:knownFonts="1">
    <font>
      <color theme="1"/>
      <family val="2"/>
      <scheme val="minor"/>
      <sz val="11"/>
      <name val="Calibri"/>
    </font>
    <font>
      <b/>
      <color rgb="FF14532D"/>
      <sz val="16"/>
      <name val="Arial"/>
    </font>
    <font>
      <b/>
      <color rgb="FFFFFFFF"/>
      <sz val="12"/>
      <name val="Arial"/>
    </font>
    <font>
      <color rgb="FF14532D"/>
      <sz val="11"/>
      <name val="Arial"/>
    </font>
    <font>
      <b/>
      <color rgb="FF22C55E"/>
      <sz val="11"/>
      <name val="Arial"/>
    </font>
    <font>
      <b/>
      <color rgb="FFEF4444"/>
      <sz val="11"/>
      <name val="Arial"/>
    </font>
    <font>
      <b/>
      <color rgb="FFFFFFFF"/>
      <sz val="11"/>
      <name val="Arial"/>
    </font>
  </fonts>
  <fills count="6">
    <fill>
      <patternFill patternType="none"/>
    </fill>
    <fill>
      <patternFill patternType="gray125"/>
    </fill>
    <fill>
      <patternFill patternType="solid">
        <fgColor rgb="FF166534"/>
      </patternFill>
    </fill>
    <fill>
      <patternFill patternType="solid">
        <fgColor rgb="FFFFFFFF"/>
      </patternFill>
    </fill>
    <fill>
      <patternFill patternType="solid">
        <fgColor rgb="FFF0FDF4"/>
      </patternFill>
    </fill>
    <fill>
      <patternFill patternType="solid">
        <fgColor rgb="FF22C55E"/>
      </patternFill>
    </fill>
  </fills>
  <borders count="4">
    <border>
      <left/>
      <right/>
      <top/>
      <bottom/>
      <diagonal/>
    </border>
    <border>
      <left style="thin">
        <color rgb="FFBBF7D0"/>
      </left>
      <right style="thin">
        <color rgb="FFBBF7D0"/>
      </right>
      <top style="medium">
        <color rgb="FF166534"/>
      </top>
      <bottom style="medium">
        <color rgb="FF166534"/>
      </bottom>
      <diagonal/>
    </border>
    <border>
      <left style="thin">
        <color rgb="FFBBF7D0"/>
      </left>
      <right style="thin">
        <color rgb="FFBBF7D0"/>
      </right>
      <top style="thin">
        <color rgb="FFBBF7D0"/>
      </top>
      <bottom style="thin">
        <color rgb="FFBBF7D0"/>
      </bottom>
      <diagonal/>
    </border>
    <border>
      <left style="thin">
        <color rgb="FFBBF7D0"/>
      </left>
      <right style="thin">
        <color rgb="FFBBF7D0"/>
      </right>
      <top style="double">
        <color rgb="FF166534"/>
      </top>
      <bottom style="medium">
        <color rgb="FF16653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/>
    </xf>
    <xf numFmtId="164" fontId="3" fillId="3" borderId="2" xfId="0" applyNumberFormat="1" applyFont="1" applyFill="1" applyBorder="1" applyAlignment="1">
      <alignment horizontal="right" vertical="center"/>
    </xf>
    <xf numFmtId="0" fontId="3" fillId="4" borderId="2" xfId="0" applyFont="1" applyFill="1" applyBorder="1" applyAlignment="1">
      <alignment horizontal="left" vertical="center"/>
    </xf>
    <xf numFmtId="164" fontId="3" fillId="4" borderId="2" xfId="0" applyNumberFormat="1" applyFont="1" applyFill="1" applyBorder="1" applyAlignment="1">
      <alignment horizontal="right" vertical="center"/>
    </xf>
    <xf numFmtId="0" fontId="2" fillId="2" borderId="3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right" vertical="center"/>
    </xf>
    <xf numFmtId="10" fontId="3" fillId="3" borderId="2" xfId="0" applyNumberFormat="1" applyFont="1" applyFill="1" applyBorder="1" applyAlignment="1">
      <alignment horizontal="right" vertical="center"/>
    </xf>
    <xf numFmtId="10" fontId="3" fillId="4" borderId="2" xfId="0" applyNumberFormat="1" applyFont="1" applyFill="1" applyBorder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4" fontId="3" fillId="3" borderId="2" xfId="0" applyNumberFormat="1" applyFont="1" applyFill="1" applyBorder="1" applyAlignment="1">
      <alignment horizontal="right" vertical="center"/>
    </xf>
    <xf numFmtId="4" fontId="3" fillId="4" borderId="2" xfId="0" applyNumberFormat="1" applyFont="1" applyFill="1" applyBorder="1" applyAlignment="1">
      <alignment horizontal="right" vertical="center"/>
    </xf>
    <xf numFmtId="0" fontId="6" fillId="5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22" outlineLevelRow="0" outlineLevelCol="0" x14ac:dyDescent="55" customHeight="1"/>
  <sheetData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>
      <pane ySplit="3" topLeftCell="A4" activePane="bottomLeft" state="frozen"/>
      <selection pane="bottomLeft"/>
    </sheetView>
  </sheetViews>
  <sheetFormatPr defaultRowHeight="22" outlineLevelRow="0" outlineLevelCol="0" x14ac:dyDescent="55" customHeight="1"/>
  <cols>
    <col min="1" max="7" width="36.8" customWidth="1"/>
  </cols>
  <sheetData>
    <row r="1" ht="30" customHeight="1" spans="1:7" x14ac:dyDescent="0.25">
      <c r="A1" s="1" t="s">
        <v>0</v>
      </c>
      <c r="B1" s="1"/>
      <c r="C1" s="1"/>
      <c r="D1" s="1"/>
      <c r="E1" s="1"/>
      <c r="F1" s="1"/>
      <c r="G1" s="1"/>
    </row>
    <row r="3" ht="26" customHeight="1" spans="1:7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ht="22" customHeight="1" spans="1:7" x14ac:dyDescent="0.25">
      <c r="A4" s="3" t="s">
        <v>8</v>
      </c>
      <c r="B4" s="4">
        <v>12500</v>
      </c>
      <c r="C4" s="4">
        <v>13750.000000000002</v>
      </c>
      <c r="D4" s="4">
        <v>15000</v>
      </c>
      <c r="E4" s="4">
        <v>16250</v>
      </c>
    </row>
    <row r="5" ht="22" customHeight="1" spans="1:7" x14ac:dyDescent="0.25">
      <c r="A5" s="5" t="s">
        <v>9</v>
      </c>
      <c r="B5" s="6">
        <v>8900</v>
      </c>
      <c r="C5" s="6">
        <v>9790</v>
      </c>
      <c r="D5" s="6">
        <v>10680</v>
      </c>
      <c r="E5" s="6">
        <v>11570</v>
      </c>
    </row>
    <row r="6" ht="22" customHeight="1" spans="1:7" x14ac:dyDescent="0.25">
      <c r="A6" s="3" t="s">
        <v>10</v>
      </c>
      <c r="B6" s="4">
        <v>15600</v>
      </c>
      <c r="C6" s="4">
        <v>17160</v>
      </c>
      <c r="D6" s="4">
        <v>18720</v>
      </c>
      <c r="E6" s="4">
        <v>20280</v>
      </c>
    </row>
    <row r="7" ht="22" customHeight="1" spans="1:7" x14ac:dyDescent="0.25">
      <c r="A7" s="5" t="s">
        <v>11</v>
      </c>
      <c r="B7" s="6">
        <v>6200</v>
      </c>
      <c r="C7" s="6">
        <v>6820.000000000001</v>
      </c>
      <c r="D7" s="6">
        <v>7440</v>
      </c>
      <c r="E7" s="6">
        <v>8060</v>
      </c>
    </row>
    <row r="8" ht="22" customHeight="1" spans="1:7" x14ac:dyDescent="0.25">
      <c r="A8" s="3" t="s">
        <v>12</v>
      </c>
      <c r="B8" s="4">
        <v>21000</v>
      </c>
      <c r="C8" s="4">
        <v>23100.000000000004</v>
      </c>
      <c r="D8" s="4">
        <v>25200</v>
      </c>
      <c r="E8" s="4">
        <v>27300</v>
      </c>
    </row>
    <row r="9" ht="26" customHeight="1" spans="1:7" x14ac:dyDescent="0.25">
      <c r="A9" s="7" t="s">
        <v>6</v>
      </c>
      <c r="B9" s="8">
        <f>SUM(B4:B8)</f>
      </c>
      <c r="C9" s="8">
        <f>SUM(C4:C8)</f>
      </c>
      <c r="D9" s="8">
        <f>SUM(D4:D8)</f>
      </c>
      <c r="E9" s="8">
        <f>SUM(E4:E8)</f>
      </c>
      <c r="F9" s="7" t="s">
        <v>13</v>
      </c>
      <c r="G9" s="7" t="s">
        <v>13</v>
      </c>
    </row>
  </sheetData>
  <autoFilter ref="A3:G8"/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pane ySplit="3" topLeftCell="A4" activePane="bottomLeft" state="frozen"/>
      <selection pane="bottomLeft"/>
    </sheetView>
  </sheetViews>
  <sheetFormatPr defaultRowHeight="22" outlineLevelRow="0" outlineLevelCol="0" x14ac:dyDescent="55" customHeight="1"/>
  <cols>
    <col min="1" max="5" width="42.8" customWidth="1"/>
  </cols>
  <sheetData>
    <row r="1" ht="30" customHeight="1" spans="1:5" x14ac:dyDescent="0.25">
      <c r="A1" s="1" t="s">
        <v>14</v>
      </c>
      <c r="B1" s="1"/>
      <c r="C1" s="1"/>
      <c r="D1" s="1"/>
      <c r="E1" s="1"/>
    </row>
    <row r="3" ht="26" customHeight="1" spans="1:5" x14ac:dyDescent="0.25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</row>
    <row r="4" ht="22" customHeight="1" spans="1:5" x14ac:dyDescent="0.25">
      <c r="A4" s="3" t="s">
        <v>20</v>
      </c>
      <c r="B4" s="4">
        <v>120000</v>
      </c>
      <c r="C4" s="4">
        <v>80000</v>
      </c>
      <c r="D4" s="4">
        <v>40000</v>
      </c>
      <c r="E4" s="9">
        <v>0.3333333333333333</v>
      </c>
    </row>
    <row r="5" ht="22" customHeight="1" spans="1:5" x14ac:dyDescent="0.25">
      <c r="A5" s="5" t="s">
        <v>21</v>
      </c>
      <c r="B5" s="6">
        <v>145000</v>
      </c>
      <c r="C5" s="6">
        <v>95000</v>
      </c>
      <c r="D5" s="6">
        <v>50000</v>
      </c>
      <c r="E5" s="10">
        <v>0.3448275862068966</v>
      </c>
    </row>
    <row r="6" ht="22" customHeight="1" spans="1:5" x14ac:dyDescent="0.25">
      <c r="A6" s="3" t="s">
        <v>22</v>
      </c>
      <c r="B6" s="4">
        <v>168000</v>
      </c>
      <c r="C6" s="4">
        <v>110000</v>
      </c>
      <c r="D6" s="4">
        <v>58000</v>
      </c>
      <c r="E6" s="9">
        <v>0.34523809523809523</v>
      </c>
    </row>
    <row r="7" ht="22" customHeight="1" spans="1:5" x14ac:dyDescent="0.25">
      <c r="A7" s="5" t="s">
        <v>23</v>
      </c>
      <c r="B7" s="6">
        <v>190000</v>
      </c>
      <c r="C7" s="6">
        <v>125000</v>
      </c>
      <c r="D7" s="6">
        <v>65000</v>
      </c>
      <c r="E7" s="10">
        <v>0.34210526315789475</v>
      </c>
    </row>
    <row r="8" ht="26" customHeight="1" spans="1:5" x14ac:dyDescent="0.25">
      <c r="A8" s="7" t="s">
        <v>6</v>
      </c>
      <c r="B8" s="8">
        <f>SUM(B4:B7)</f>
      </c>
      <c r="C8" s="8">
        <f>SUM(C4:C7)</f>
      </c>
      <c r="D8" s="8">
        <f>SUM(D4:D7)</f>
      </c>
      <c r="E8" s="8">
        <f>SUM(E4:E7)</f>
      </c>
    </row>
  </sheetData>
  <autoFilter ref="A3:E7"/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pane ySplit="3" topLeftCell="A4" activePane="bottomLeft" state="frozen"/>
      <selection pane="bottomLeft"/>
    </sheetView>
  </sheetViews>
  <sheetFormatPr defaultRowHeight="22" outlineLevelRow="0" outlineLevelCol="0" x14ac:dyDescent="55" customHeight="1"/>
  <cols>
    <col min="1" max="6" width="40.4" customWidth="1"/>
  </cols>
  <sheetData>
    <row r="1" ht="30" customHeight="1" spans="1:6" x14ac:dyDescent="0.25">
      <c r="A1" s="1" t="s">
        <v>24</v>
      </c>
      <c r="B1" s="1"/>
      <c r="C1" s="1"/>
      <c r="D1" s="1"/>
      <c r="E1" s="1"/>
      <c r="F1" s="1"/>
    </row>
    <row r="3" ht="26" customHeight="1" spans="1:6" x14ac:dyDescent="0.25">
      <c r="A3" s="2" t="s">
        <v>25</v>
      </c>
      <c r="B3" s="2" t="s">
        <v>26</v>
      </c>
      <c r="C3" s="2" t="s">
        <v>27</v>
      </c>
      <c r="D3" s="2" t="s">
        <v>28</v>
      </c>
      <c r="E3" s="2" t="s">
        <v>29</v>
      </c>
      <c r="F3" s="2" t="s">
        <v>30</v>
      </c>
    </row>
    <row r="4" ht="22" customHeight="1" spans="1:6" x14ac:dyDescent="0.25">
      <c r="A4" s="3" t="s">
        <v>31</v>
      </c>
      <c r="B4" s="4">
        <v>50000</v>
      </c>
      <c r="C4" s="4">
        <v>45000</v>
      </c>
      <c r="D4" s="4">
        <v>-5000</v>
      </c>
      <c r="E4" s="9">
        <v>-0.1</v>
      </c>
      <c r="F4" s="11" t="s">
        <v>32</v>
      </c>
    </row>
    <row r="5" ht="22" customHeight="1" spans="1:6" x14ac:dyDescent="0.25">
      <c r="A5" s="5" t="s">
        <v>33</v>
      </c>
      <c r="B5" s="6">
        <v>120000</v>
      </c>
      <c r="C5" s="6">
        <v>125000</v>
      </c>
      <c r="D5" s="6">
        <v>5000</v>
      </c>
      <c r="E5" s="10">
        <v>0.041666666666666664</v>
      </c>
      <c r="F5" s="12" t="s">
        <v>34</v>
      </c>
    </row>
    <row r="6" ht="22" customHeight="1" spans="1:6" x14ac:dyDescent="0.25">
      <c r="A6" s="3" t="s">
        <v>35</v>
      </c>
      <c r="B6" s="4">
        <v>80000</v>
      </c>
      <c r="C6" s="4">
        <v>78000</v>
      </c>
      <c r="D6" s="4">
        <v>-2000</v>
      </c>
      <c r="E6" s="9">
        <v>-0.025</v>
      </c>
      <c r="F6" s="11" t="s">
        <v>32</v>
      </c>
    </row>
    <row r="7" ht="22" customHeight="1" spans="1:6" x14ac:dyDescent="0.25">
      <c r="A7" s="5" t="s">
        <v>36</v>
      </c>
      <c r="B7" s="6">
        <v>280000</v>
      </c>
      <c r="C7" s="6">
        <v>275000</v>
      </c>
      <c r="D7" s="6">
        <v>-5000</v>
      </c>
      <c r="E7" s="10">
        <v>-0.017857142857142856</v>
      </c>
      <c r="F7" s="11" t="s">
        <v>32</v>
      </c>
    </row>
    <row r="8" ht="22" customHeight="1" spans="1:6" x14ac:dyDescent="0.25">
      <c r="A8" s="3" t="s">
        <v>37</v>
      </c>
      <c r="B8" s="4">
        <v>45000</v>
      </c>
      <c r="C8" s="4">
        <v>42000</v>
      </c>
      <c r="D8" s="4">
        <v>-3000</v>
      </c>
      <c r="E8" s="9">
        <v>-0.06666666666666667</v>
      </c>
      <c r="F8" s="11" t="s">
        <v>32</v>
      </c>
    </row>
    <row r="9" ht="26" customHeight="1" spans="1:6" x14ac:dyDescent="0.25">
      <c r="A9" s="7" t="s">
        <v>6</v>
      </c>
      <c r="B9" s="8">
        <f>SUM(B4:B8)</f>
      </c>
      <c r="C9" s="8">
        <f>SUM(C4:C8)</f>
      </c>
      <c r="D9" s="8">
        <f>SUM(D4:D8)</f>
      </c>
      <c r="E9" s="8">
        <f>SUM(E4:E8)</f>
      </c>
      <c r="F9" s="7" t="s">
        <v>13</v>
      </c>
    </row>
  </sheetData>
  <autoFilter ref="A3:F8"/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pane ySplit="3" topLeftCell="A4" activePane="bottomLeft" state="frozen"/>
      <selection pane="bottomLeft"/>
    </sheetView>
  </sheetViews>
  <sheetFormatPr defaultRowHeight="22" outlineLevelRow="0" outlineLevelCol="0" x14ac:dyDescent="55" customHeight="1"/>
  <cols>
    <col min="1" max="1" width="41.6" customWidth="1"/>
    <col min="2" max="4" width="10" customWidth="1"/>
  </cols>
  <sheetData>
    <row r="1" ht="30" customHeight="1" spans="1:4" x14ac:dyDescent="0.25">
      <c r="A1" s="1" t="s">
        <v>38</v>
      </c>
    </row>
    <row r="3" ht="26" customHeight="1" spans="1:4" x14ac:dyDescent="0.25">
      <c r="A3" s="2" t="s">
        <v>39</v>
      </c>
      <c r="B3" s="2" t="s">
        <v>40</v>
      </c>
      <c r="C3" s="2" t="s">
        <v>41</v>
      </c>
      <c r="D3" s="2" t="s">
        <v>42</v>
      </c>
    </row>
    <row r="4" ht="22" customHeight="1" spans="1:4" x14ac:dyDescent="0.25">
      <c r="A4" s="3" t="s">
        <v>43</v>
      </c>
      <c r="B4" s="3" t="s">
        <v>44</v>
      </c>
      <c r="C4" s="3" t="s">
        <v>45</v>
      </c>
      <c r="D4" s="11" t="s">
        <v>46</v>
      </c>
    </row>
    <row r="5" ht="22" customHeight="1" spans="1:4" x14ac:dyDescent="0.25">
      <c r="A5" s="5" t="s">
        <v>47</v>
      </c>
      <c r="B5" s="5" t="s">
        <v>48</v>
      </c>
      <c r="C5" s="5" t="s">
        <v>49</v>
      </c>
      <c r="D5" s="11" t="s">
        <v>46</v>
      </c>
    </row>
    <row r="6" ht="22" customHeight="1" spans="1:4" x14ac:dyDescent="0.25">
      <c r="A6" s="3" t="s">
        <v>50</v>
      </c>
      <c r="B6" s="3" t="s">
        <v>51</v>
      </c>
      <c r="C6" s="3" t="s">
        <v>52</v>
      </c>
      <c r="D6" s="11" t="s">
        <v>46</v>
      </c>
    </row>
    <row r="7" ht="22" customHeight="1" spans="1:4" x14ac:dyDescent="0.25">
      <c r="A7" s="5" t="s">
        <v>53</v>
      </c>
      <c r="B7" s="5" t="s">
        <v>54</v>
      </c>
      <c r="C7" s="5" t="s">
        <v>55</v>
      </c>
      <c r="D7" s="12" t="s">
        <v>56</v>
      </c>
    </row>
  </sheetData>
  <autoFilter ref="A3:D7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pane ySplit="3" topLeftCell="A4" activePane="bottomLeft" state="frozen"/>
      <selection pane="bottomLeft"/>
    </sheetView>
  </sheetViews>
  <sheetFormatPr defaultRowHeight="22" outlineLevelRow="0" outlineLevelCol="0" x14ac:dyDescent="55" customHeight="1"/>
  <cols>
    <col min="1" max="6" width="29.599999999999998" customWidth="1"/>
  </cols>
  <sheetData>
    <row r="1" ht="30" customHeight="1" spans="1:6" x14ac:dyDescent="0.25">
      <c r="A1" s="1" t="s">
        <v>57</v>
      </c>
      <c r="B1" s="1"/>
      <c r="C1" s="1"/>
      <c r="D1" s="1"/>
      <c r="E1" s="1"/>
      <c r="F1" s="1"/>
    </row>
    <row r="3" ht="26" customHeight="1" spans="1:6" x14ac:dyDescent="0.25">
      <c r="A3" s="2" t="s">
        <v>58</v>
      </c>
      <c r="B3" s="2" t="s">
        <v>59</v>
      </c>
      <c r="C3" s="2" t="s">
        <v>60</v>
      </c>
      <c r="D3" s="2" t="s">
        <v>61</v>
      </c>
      <c r="E3" s="2" t="s">
        <v>62</v>
      </c>
      <c r="F3" s="2" t="s">
        <v>30</v>
      </c>
    </row>
    <row r="4" ht="22" customHeight="1" spans="1:6" x14ac:dyDescent="0.25">
      <c r="A4" s="3" t="s">
        <v>63</v>
      </c>
      <c r="B4" s="3" t="s">
        <v>64</v>
      </c>
      <c r="C4" s="3" t="s">
        <v>65</v>
      </c>
      <c r="D4" s="13">
        <v>58</v>
      </c>
      <c r="E4" s="9">
        <v>1</v>
      </c>
      <c r="F4" s="3" t="s">
        <v>66</v>
      </c>
    </row>
    <row r="5" ht="22" customHeight="1" spans="1:6" x14ac:dyDescent="0.25">
      <c r="A5" s="5" t="s">
        <v>67</v>
      </c>
      <c r="B5" s="5" t="s">
        <v>68</v>
      </c>
      <c r="C5" s="5" t="s">
        <v>69</v>
      </c>
      <c r="D5" s="14">
        <v>121</v>
      </c>
      <c r="E5" s="10">
        <v>0.85</v>
      </c>
      <c r="F5" s="5" t="s">
        <v>70</v>
      </c>
    </row>
    <row r="6" ht="22" customHeight="1" spans="1:6" x14ac:dyDescent="0.25">
      <c r="A6" s="3" t="s">
        <v>71</v>
      </c>
      <c r="B6" s="3" t="s">
        <v>72</v>
      </c>
      <c r="C6" s="3" t="s">
        <v>73</v>
      </c>
      <c r="D6" s="13">
        <v>61</v>
      </c>
      <c r="E6" s="9">
        <v>0.45</v>
      </c>
      <c r="F6" s="3" t="s">
        <v>70</v>
      </c>
    </row>
    <row r="7" ht="22" customHeight="1" spans="1:6" x14ac:dyDescent="0.25">
      <c r="A7" s="5" t="s">
        <v>74</v>
      </c>
      <c r="B7" s="5" t="s">
        <v>75</v>
      </c>
      <c r="C7" s="5" t="s">
        <v>76</v>
      </c>
      <c r="D7" s="14">
        <v>44</v>
      </c>
      <c r="E7" s="10">
        <v>0</v>
      </c>
      <c r="F7" s="5" t="s">
        <v>77</v>
      </c>
    </row>
    <row r="8" ht="26" customHeight="1" spans="1:6" x14ac:dyDescent="0.25">
      <c r="A8" s="7" t="s">
        <v>6</v>
      </c>
      <c r="B8" s="7" t="s">
        <v>13</v>
      </c>
      <c r="C8" s="7" t="s">
        <v>13</v>
      </c>
      <c r="D8" s="8">
        <f>SUM(D4:D7)</f>
      </c>
      <c r="E8" s="8">
        <f>SUM(E4:E7)</f>
      </c>
      <c r="F8" s="7" t="s">
        <v>13</v>
      </c>
    </row>
  </sheetData>
  <autoFilter ref="A3:F7"/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pane ySplit="3" topLeftCell="A4" activePane="bottomLeft" state="frozen"/>
      <selection pane="bottomLeft"/>
    </sheetView>
  </sheetViews>
  <sheetFormatPr defaultRowHeight="22" outlineLevelRow="0" outlineLevelCol="0" x14ac:dyDescent="55" customHeight="1"/>
  <cols>
    <col min="1" max="8" width="40.4" customWidth="1"/>
  </cols>
  <sheetData>
    <row r="1" ht="30" customHeight="1" spans="1:8" x14ac:dyDescent="0.25">
      <c r="A1" s="1" t="s">
        <v>78</v>
      </c>
      <c r="B1" s="1"/>
      <c r="C1" s="1"/>
      <c r="D1" s="1"/>
      <c r="E1" s="1"/>
      <c r="F1" s="1"/>
      <c r="G1" s="1"/>
      <c r="H1" s="1"/>
    </row>
    <row r="3" ht="26" customHeight="1" spans="1:8" x14ac:dyDescent="0.25">
      <c r="A3" s="2" t="s">
        <v>79</v>
      </c>
      <c r="B3" s="2" t="s">
        <v>80</v>
      </c>
      <c r="C3" s="2" t="s">
        <v>81</v>
      </c>
      <c r="D3" s="2" t="s">
        <v>62</v>
      </c>
      <c r="E3" s="2" t="s">
        <v>26</v>
      </c>
      <c r="F3" s="2" t="s">
        <v>82</v>
      </c>
      <c r="G3" s="2" t="s">
        <v>83</v>
      </c>
      <c r="H3" s="2" t="s">
        <v>30</v>
      </c>
    </row>
    <row r="4" ht="22" customHeight="1" spans="1:8" x14ac:dyDescent="0.25">
      <c r="A4" s="3" t="s">
        <v>84</v>
      </c>
      <c r="B4" s="3" t="s">
        <v>85</v>
      </c>
      <c r="C4" s="3" t="s">
        <v>86</v>
      </c>
      <c r="D4" s="9">
        <v>0.78</v>
      </c>
      <c r="E4" s="4">
        <v>45000</v>
      </c>
      <c r="F4" s="4">
        <v>38000</v>
      </c>
      <c r="G4" s="4">
        <v>7000</v>
      </c>
      <c r="H4" s="3" t="s">
        <v>87</v>
      </c>
    </row>
    <row r="5" ht="22" customHeight="1" spans="1:8" x14ac:dyDescent="0.25">
      <c r="A5" s="5" t="s">
        <v>88</v>
      </c>
      <c r="B5" s="5" t="s">
        <v>89</v>
      </c>
      <c r="C5" s="5" t="s">
        <v>90</v>
      </c>
      <c r="D5" s="10">
        <v>0.45</v>
      </c>
      <c r="E5" s="6">
        <v>120000</v>
      </c>
      <c r="F5" s="6">
        <v>55000</v>
      </c>
      <c r="G5" s="6">
        <v>65000</v>
      </c>
      <c r="H5" s="5" t="s">
        <v>91</v>
      </c>
    </row>
    <row r="6" ht="22" customHeight="1" spans="1:8" x14ac:dyDescent="0.25">
      <c r="A6" s="3" t="s">
        <v>92</v>
      </c>
      <c r="B6" s="3" t="s">
        <v>68</v>
      </c>
      <c r="C6" s="3" t="s">
        <v>93</v>
      </c>
      <c r="D6" s="9">
        <v>0.92</v>
      </c>
      <c r="E6" s="4">
        <v>35000</v>
      </c>
      <c r="F6" s="4">
        <v>32500</v>
      </c>
      <c r="G6" s="4">
        <v>2500</v>
      </c>
      <c r="H6" s="3" t="s">
        <v>87</v>
      </c>
    </row>
    <row r="7" ht="26" customHeight="1" spans="1:8" x14ac:dyDescent="0.25">
      <c r="A7" s="7" t="s">
        <v>6</v>
      </c>
      <c r="B7" s="7" t="s">
        <v>13</v>
      </c>
      <c r="C7" s="7" t="s">
        <v>13</v>
      </c>
      <c r="D7" s="8">
        <f>SUM(D4:D6)</f>
      </c>
      <c r="E7" s="8">
        <f>SUM(E4:E6)</f>
      </c>
      <c r="F7" s="8">
        <f>SUM(F4:F6)</f>
      </c>
      <c r="G7" s="8">
        <f>SUM(G4:G6)</f>
      </c>
      <c r="H7" s="7" t="s">
        <v>13</v>
      </c>
    </row>
  </sheetData>
  <autoFilter ref="A3:H6"/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>
      <pane ySplit="12" topLeftCell="A13" activePane="bottomLeft" state="frozen"/>
      <selection pane="bottomLeft"/>
    </sheetView>
  </sheetViews>
  <sheetFormatPr defaultRowHeight="22" outlineLevelRow="0" outlineLevelCol="0" x14ac:dyDescent="55" customHeight="1"/>
  <cols>
    <col min="1" max="1" width="36.8" customWidth="1"/>
    <col min="2" max="4" width="24.8" customWidth="1"/>
  </cols>
  <sheetData>
    <row r="1" ht="30" customHeight="1" spans="1:4" x14ac:dyDescent="0.25">
      <c r="A1" s="1" t="s">
        <v>94</v>
      </c>
    </row>
    <row r="3" ht="26" customHeight="1" spans="1:4" x14ac:dyDescent="0.25">
      <c r="A3" s="15" t="s">
        <v>95</v>
      </c>
      <c r="B3" s="15"/>
      <c r="C3" s="15"/>
      <c r="D3" s="15"/>
    </row>
    <row r="4" ht="26" customHeight="1" spans="1:4" x14ac:dyDescent="0.25">
      <c r="A4" s="2" t="s">
        <v>96</v>
      </c>
      <c r="B4" s="2" t="s">
        <v>97</v>
      </c>
      <c r="C4" s="2" t="s">
        <v>98</v>
      </c>
      <c r="D4" s="2" t="s">
        <v>99</v>
      </c>
    </row>
    <row r="5" ht="22" customHeight="1" spans="1:4" x14ac:dyDescent="0.25">
      <c r="A5" s="3" t="s">
        <v>13</v>
      </c>
      <c r="B5" s="3" t="s">
        <v>13</v>
      </c>
      <c r="C5" s="3" t="s">
        <v>13</v>
      </c>
      <c r="D5" s="3" t="s">
        <v>13</v>
      </c>
    </row>
    <row r="6" ht="22" customHeight="1" spans="1:4" x14ac:dyDescent="0.25">
      <c r="A6" s="5" t="s">
        <v>13</v>
      </c>
      <c r="B6" s="5" t="s">
        <v>13</v>
      </c>
      <c r="C6" s="5" t="s">
        <v>13</v>
      </c>
      <c r="D6" s="5" t="s">
        <v>13</v>
      </c>
    </row>
    <row r="7" ht="22" customHeight="1" spans="1:4" x14ac:dyDescent="0.25">
      <c r="A7" s="3" t="s">
        <v>13</v>
      </c>
      <c r="B7" s="3" t="s">
        <v>13</v>
      </c>
      <c r="C7" s="3" t="s">
        <v>13</v>
      </c>
      <c r="D7" s="3" t="s">
        <v>13</v>
      </c>
    </row>
    <row r="8" ht="22" customHeight="1" spans="1:4" x14ac:dyDescent="0.25">
      <c r="A8" s="5" t="s">
        <v>13</v>
      </c>
      <c r="B8" s="5" t="s">
        <v>13</v>
      </c>
      <c r="C8" s="5" t="s">
        <v>13</v>
      </c>
      <c r="D8" s="5" t="s">
        <v>13</v>
      </c>
    </row>
    <row r="11" ht="26" customHeight="1" spans="1:4" x14ac:dyDescent="0.25">
      <c r="A11" s="15" t="s">
        <v>100</v>
      </c>
      <c r="B11" s="15"/>
      <c r="C11" s="15"/>
      <c r="D11" s="15"/>
    </row>
    <row r="12" ht="26" customHeight="1" spans="1:4" x14ac:dyDescent="0.25">
      <c r="A12" s="2" t="s">
        <v>101</v>
      </c>
      <c r="B12" s="2" t="s">
        <v>16</v>
      </c>
      <c r="C12" s="2" t="s">
        <v>102</v>
      </c>
      <c r="D12" s="2" t="s">
        <v>103</v>
      </c>
    </row>
    <row r="13" ht="22" customHeight="1" spans="1:4" x14ac:dyDescent="0.25">
      <c r="A13" s="3" t="s">
        <v>13</v>
      </c>
      <c r="B13" s="3" t="s">
        <v>13</v>
      </c>
      <c r="C13" s="3" t="s">
        <v>13</v>
      </c>
      <c r="D13" s="3" t="s">
        <v>13</v>
      </c>
    </row>
    <row r="14" ht="22" customHeight="1" spans="1:4" x14ac:dyDescent="0.25">
      <c r="A14" s="5" t="s">
        <v>13</v>
      </c>
      <c r="B14" s="5" t="s">
        <v>13</v>
      </c>
      <c r="C14" s="5" t="s">
        <v>13</v>
      </c>
      <c r="D14" s="5" t="s">
        <v>13</v>
      </c>
    </row>
    <row r="15" ht="22" customHeight="1" spans="1:4" x14ac:dyDescent="0.25">
      <c r="A15" s="3" t="s">
        <v>13</v>
      </c>
      <c r="B15" s="3" t="s">
        <v>13</v>
      </c>
      <c r="C15" s="3" t="s">
        <v>13</v>
      </c>
      <c r="D15" s="3" t="s">
        <v>13</v>
      </c>
    </row>
  </sheetData>
  <autoFilter ref="A12:D15"/>
  <mergeCells count="2">
    <mergeCell ref="A3:D3"/>
    <mergeCell ref="A11:D1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Data Table</vt:lpstr>
      <vt:lpstr>Financial Report</vt:lpstr>
      <vt:lpstr>Budget Comparison</vt:lpstr>
      <vt:lpstr>Dashboard</vt:lpstr>
      <vt:lpstr>Timeline</vt:lpstr>
      <vt:lpstr>Projects</vt:lpstr>
      <vt:lpstr>Analysis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Modern Excel Ultimate v8.0 Professional</dc:creator>
  <dc:title/>
  <dc:subject/>
  <dc:description/>
  <cp:keywords/>
  <cp:category/>
  <cp:lastModifiedBy>Unknown</cp:lastModifiedBy>
  <dcterms:created xsi:type="dcterms:W3CDTF">2026-03-30T09:17:22Z</dcterms:created>
  <dcterms:modified xsi:type="dcterms:W3CDTF">2026-03-30T09:17:22Z</dcterms:modified>
</cp:coreProperties>
</file>